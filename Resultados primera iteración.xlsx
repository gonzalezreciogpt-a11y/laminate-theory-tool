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GonzalezRecio\Desktop\UC3M\FORMULA\CHASSIS\MATLAB-PROPIEDADES LAMINADOS\"/>
    </mc:Choice>
  </mc:AlternateContent>
  <xr:revisionPtr revIDLastSave="0" documentId="13_ncr:1_{759D05C6-4E6D-47A3-A07A-5799F3C14B79}" xr6:coauthVersionLast="47" xr6:coauthVersionMax="47" xr10:uidLastSave="{00000000-0000-0000-0000-000000000000}"/>
  <bookViews>
    <workbookView xWindow="-90" yWindow="0" windowWidth="19380" windowHeight="20970" xr2:uid="{A6196DC9-6624-4B9A-BA1A-3789AA51496E}"/>
  </bookViews>
  <sheets>
    <sheet name="3 capas" sheetId="5" r:id="rId1"/>
    <sheet name="4 capas" sheetId="3" r:id="rId2"/>
    <sheet name="5 capas" sheetId="2" r:id="rId3"/>
    <sheet name="6 capas" sheetId="1" r:id="rId4"/>
    <sheet name="7 capa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C7" i="5"/>
  <c r="B7" i="5"/>
  <c r="E7" i="4"/>
  <c r="D7" i="4"/>
  <c r="C7" i="4"/>
  <c r="B7" i="4"/>
  <c r="D7" i="3"/>
  <c r="C7" i="3"/>
  <c r="B7" i="3"/>
  <c r="C7" i="2"/>
  <c r="D7" i="2"/>
  <c r="B7" i="2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<sst xmlns="http://schemas.openxmlformats.org/spreadsheetml/2006/main" count="160" uniqueCount="55">
  <si>
    <t>Name</t>
  </si>
  <si>
    <t>Type</t>
  </si>
  <si>
    <t>3PBT</t>
  </si>
  <si>
    <t>CF type</t>
  </si>
  <si>
    <t>Laminate</t>
  </si>
  <si>
    <t>Core material</t>
  </si>
  <si>
    <t>1/8" Honeycomb</t>
  </si>
  <si>
    <t>Core Thickness (mm)</t>
  </si>
  <si>
    <t>Thickness (mm)</t>
  </si>
  <si>
    <t>Skin thickness (mm)</t>
  </si>
  <si>
    <t>Elastic gradient (Theory-Matlab)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</si>
  <si>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</si>
  <si>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</si>
  <si>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</si>
  <si>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</si>
  <si>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</si>
  <si>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</si>
  <si>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</si>
  <si>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</si>
  <si>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</si>
  <si>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</si>
  <si>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RC416T, UD</t>
  </si>
  <si>
    <t>[+-45º,0º,+-45º,+-90º,+-45º,0º] S</t>
  </si>
  <si>
    <t>[+-45º,0º,+-45º,+-90º,0º,+-45º] S</t>
  </si>
  <si>
    <t>[+-45º,0º,+-45º,0º,+-45º,+-90º] S</t>
  </si>
  <si>
    <t>[+-45º,0º,0º,+-45º,+-90º,+-45º] S</t>
  </si>
  <si>
    <t>[+-45º,0º,0º,+-45º,+-90º,+-90º] S</t>
  </si>
  <si>
    <t>[+-45º,0º,+-45º,+-90º,+-45º,+-90º] S</t>
  </si>
  <si>
    <t>[+-90º,+-45º,0º,+-45º,+-90º,+-45º] S</t>
  </si>
  <si>
    <t>[+-45º,+-90º,+-45º,0º,+-45º,+-90º] S</t>
  </si>
  <si>
    <t>[+-90º,+-45º,+-90º,+-45º,0º,+-45º] S</t>
  </si>
  <si>
    <t>[+-45º,+-90º,+-45º,+-90º,+-45º,0º] S</t>
  </si>
  <si>
    <t>[+-45º,+-90º,+-45º,0º,+-45º] S</t>
  </si>
  <si>
    <t>[+-45º,0º,+-45º,0º,+-45º] S</t>
  </si>
  <si>
    <t>[+-45º,+-90º,+-45º,+-90º,+-45º] S</t>
  </si>
  <si>
    <t>P5_01</t>
  </si>
  <si>
    <t>P5_02</t>
  </si>
  <si>
    <t>P5_03</t>
  </si>
  <si>
    <t>P4_01</t>
  </si>
  <si>
    <t>P4_02</t>
  </si>
  <si>
    <t>P4_03</t>
  </si>
  <si>
    <t>[+-45º,+-90º,+-45º,0º] S</t>
  </si>
  <si>
    <t>[+-45º,0º,+-45º,0º] S</t>
  </si>
  <si>
    <t>[+-45º,+-90º,+-45º,+-90º] S</t>
  </si>
  <si>
    <t>[+-45º,0º,+-45º,0º,+-45,0º,+-45º] S</t>
  </si>
  <si>
    <t>[+-45º,+-90º,+-45º,0º,+-45º,0º,+-45º] S</t>
  </si>
  <si>
    <t>[+-45º,+-90º,+-45º,+-90º,+-45º,+-90º,+-45º] S</t>
  </si>
  <si>
    <t>P4_04</t>
  </si>
  <si>
    <t>[+-45º,+-90º,+-45º,+-90º,+-45º,0º,+-45º] S</t>
  </si>
  <si>
    <t>P3_01</t>
  </si>
  <si>
    <t>P3_02</t>
  </si>
  <si>
    <t>P3_03</t>
  </si>
  <si>
    <t>[+-45º,+-90º,+-45º] S</t>
  </si>
  <si>
    <t>[+-45º,0º,+-45º] S</t>
  </si>
  <si>
    <t>[+-45º,0º,+-90º]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</si>
</sst>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0" fontId="3" fillId="0" borderId="0" xfId="0" applyFont="1" applyAlignment="1">
      <alignment horizontal="center"/>
    </xf>
    <xf numFmtId="0" fontId="2" fillId="2" borderId="3" xfId="0" applyFont="1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capas'!$A$9</c:f>
              <c:strCache>
                <c:ptCount val="1"/>
                <c:pt idx="0">
                  <c:v>Elastic gradient (Theory-Matlab)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 capas'!$B$1:$D$1</c:f>
              <c:strCache>
                <c:ptCount val="3"/>
                <c:pt idx="0">
                  <c:v>P3_01</c:v>
                </c:pt>
                <c:pt idx="1">
                  <c:v>P3_02</c:v>
                </c:pt>
                <c:pt idx="2">
                  <c:v>P3_03</c:v>
                </c:pt>
              </c:strCache>
            </c:strRef>
          </c:cat>
          <c:val>
            <c:numRef>
              <c:f>'3 capas'!$B$9:$D$9</c:f>
              <c:numCache>
                <c:formatCode>General</c:formatCode>
                <c:ptCount val="3"/>
                <c:pt idx="0">
                  <c:v>2148.6999999999998</c:v>
                </c:pt>
                <c:pt idx="1">
                  <c:v>2353.1</c:v>
                </c:pt>
                <c:pt idx="2">
                  <c:v>3543.3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B-4F9F-9B35-A70B5574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436959"/>
        <c:axId val="1687435999"/>
      </c:barChart>
      <c:catAx>
        <c:axId val="16874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5999"/>
        <c:crosses val="autoZero"/>
        <c:auto val="1"/>
        <c:lblAlgn val="ctr"/>
        <c:lblOffset val="100"/>
        <c:noMultiLvlLbl val="0"/>
      </c:catAx>
      <c:valAx>
        <c:axId val="16874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capas'!$A$9</c:f>
              <c:strCache>
                <c:ptCount val="1"/>
                <c:pt idx="0">
                  <c:v>Elastic gradient (Theory-Matlab)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 capas'!$B$1:$D$1</c:f>
              <c:strCache>
                <c:ptCount val="3"/>
                <c:pt idx="0">
                  <c:v>P4_01</c:v>
                </c:pt>
                <c:pt idx="1">
                  <c:v>P4_02</c:v>
                </c:pt>
                <c:pt idx="2">
                  <c:v>P4_03</c:v>
                </c:pt>
              </c:strCache>
            </c:strRef>
          </c:cat>
          <c:val>
            <c:numRef>
              <c:f>'4 capas'!$B$9:$D$9</c:f>
              <c:numCache>
                <c:formatCode>General</c:formatCode>
                <c:ptCount val="3"/>
                <c:pt idx="0">
                  <c:v>4090.2</c:v>
                </c:pt>
                <c:pt idx="1">
                  <c:v>4294.8</c:v>
                </c:pt>
                <c:pt idx="2">
                  <c:v>3662.1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6-42C7-8BE2-19729B889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436959"/>
        <c:axId val="1687435999"/>
      </c:barChart>
      <c:catAx>
        <c:axId val="16874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5999"/>
        <c:crosses val="autoZero"/>
        <c:auto val="1"/>
        <c:lblAlgn val="ctr"/>
        <c:lblOffset val="100"/>
        <c:noMultiLvlLbl val="0"/>
      </c:catAx>
      <c:valAx>
        <c:axId val="16874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capas'!$A$9</c:f>
              <c:strCache>
                <c:ptCount val="1"/>
                <c:pt idx="0">
                  <c:v>Elastic gradient (Theory-Matlab)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capas'!$B$1:$D$1</c:f>
              <c:strCache>
                <c:ptCount val="3"/>
                <c:pt idx="0">
                  <c:v>P5_01</c:v>
                </c:pt>
                <c:pt idx="1">
                  <c:v>P5_02</c:v>
                </c:pt>
                <c:pt idx="2">
                  <c:v>P5_03</c:v>
                </c:pt>
              </c:strCache>
            </c:strRef>
          </c:cat>
          <c:val>
            <c:numRef>
              <c:f>'5 capas'!$B$9:$D$9</c:f>
              <c:numCache>
                <c:formatCode>General</c:formatCode>
                <c:ptCount val="3"/>
                <c:pt idx="0">
                  <c:v>4618.6000000000004</c:v>
                </c:pt>
                <c:pt idx="1">
                  <c:v>4752.8999999999996</c:v>
                </c:pt>
                <c:pt idx="2">
                  <c:v>4250.3999999999996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3-4A2D-9F7D-BEECD9827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436959"/>
        <c:axId val="1687435999"/>
      </c:barChart>
      <c:catAx>
        <c:axId val="16874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5999"/>
        <c:crosses val="autoZero"/>
        <c:auto val="1"/>
        <c:lblAlgn val="ctr"/>
        <c:lblOffset val="100"/>
        <c:noMultiLvlLbl val="0"/>
      </c:catAx>
      <c:valAx>
        <c:axId val="16874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capas'!$A$9</c:f>
              <c:strCache>
                <c:ptCount val="1"/>
                <c:pt idx="0">
                  <c:v>Elastic gradient (Theory-Matlab)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 capas'!$B$1:$K$1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'6 capas'!$B$9:$K$9</c:f>
              <c:numCache>
                <c:formatCode>General</c:formatCode>
                <c:ptCount val="10"/>
                <c:pt idx="0">
                  <c:v>6757.2</c:v>
                </c:pt>
                <c:pt idx="1">
                  <c:v>6757.2</c:v>
                </c:pt>
                <c:pt idx="2">
                  <c:v>6757.2</c:v>
                </c:pt>
                <c:pt idx="3">
                  <c:v>6757.2</c:v>
                </c:pt>
                <c:pt idx="4">
                  <c:v>7884.8</c:v>
                </c:pt>
                <c:pt idx="5">
                  <c:v>6398.8</c:v>
                </c:pt>
                <c:pt idx="6">
                  <c:v>6398.8</c:v>
                </c:pt>
                <c:pt idx="7">
                  <c:v>6398.8</c:v>
                </c:pt>
                <c:pt idx="8">
                  <c:v>6398.8</c:v>
                </c:pt>
                <c:pt idx="9">
                  <c:v>6398.8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1-4E9C-A5D3-E60818060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436959"/>
        <c:axId val="1687435999"/>
      </c:barChart>
      <c:catAx>
        <c:axId val="16874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5999"/>
        <c:crosses val="autoZero"/>
        <c:auto val="1"/>
        <c:lblAlgn val="ctr"/>
        <c:lblOffset val="100"/>
        <c:noMultiLvlLbl val="0"/>
      </c:catAx>
      <c:valAx>
        <c:axId val="1687435999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 capas'!$A$9</c:f>
              <c:strCache>
                <c:ptCount val="1"/>
                <c:pt idx="0">
                  <c:v>Elastic gradient (Theory-Matlab)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 capas'!$B$1:$D$1</c:f>
              <c:strCache>
                <c:ptCount val="3"/>
                <c:pt idx="0">
                  <c:v>P4_01</c:v>
                </c:pt>
                <c:pt idx="1">
                  <c:v>P4_02</c:v>
                </c:pt>
                <c:pt idx="2">
                  <c:v>P4_03</c:v>
                </c:pt>
              </c:strCache>
            </c:strRef>
          </c:cat>
          <c:val>
            <c:numRef>
              <c:f>'7 capas'!$B$9:$D$9</c:f>
              <c:numCache>
                <c:formatCode>General</c:formatCode>
                <c:ptCount val="3"/>
                <c:pt idx="0">
                  <c:v>7461.2</c:v>
                </c:pt>
                <c:pt idx="1">
                  <c:v>7382.3</c:v>
                </c:pt>
                <c:pt idx="2">
                  <c:v>7075.2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0-4EFC-AF98-9F1662CC6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436959"/>
        <c:axId val="1687435999"/>
      </c:barChart>
      <c:catAx>
        <c:axId val="16874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5999"/>
        <c:crosses val="autoZero"/>
        <c:auto val="1"/>
        <c:lblAlgn val="ctr"/>
        <c:lblOffset val="100"/>
        <c:noMultiLvlLbl val="0"/>
      </c:catAx>
      <c:valAx>
        <c:axId val="16874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2419356</xdr:colOff>
      <xdr:row>12</xdr:row>
      <xdr:rowOff>34924</xdr:rowOff>
    </xdr:from>
    <xdr:to>
      <xdr:col>3</xdr:col>
      <xdr:colOff>2095500</xdr:colOff>
      <xdr:row>34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032979-4162-4A88-BEE7-B476D929B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2419356</xdr:colOff>
      <xdr:row>12</xdr:row>
      <xdr:rowOff>34924</xdr:rowOff>
    </xdr:from>
    <xdr:to>
      <xdr:col>3</xdr:col>
      <xdr:colOff>2095500</xdr:colOff>
      <xdr:row>34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E56739-89C6-4DFB-A9E8-FD7149D01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2419356</xdr:colOff>
      <xdr:row>12</xdr:row>
      <xdr:rowOff>34924</xdr:rowOff>
    </xdr:from>
    <xdr:to>
      <xdr:col>3</xdr:col>
      <xdr:colOff>2095500</xdr:colOff>
      <xdr:row>34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1FE41D-8540-4CC5-A42C-55F279C9A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558806</xdr:colOff>
      <xdr:row>12</xdr:row>
      <xdr:rowOff>104774</xdr:rowOff>
    </xdr:from>
    <xdr:to>
      <xdr:col>5</xdr:col>
      <xdr:colOff>0</xdr:colOff>
      <xdr:row>35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B3B5CD-768C-1FAE-8DE0-7BD0C7B04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2419356</xdr:colOff>
      <xdr:row>12</xdr:row>
      <xdr:rowOff>34924</xdr:rowOff>
    </xdr:from>
    <xdr:to>
      <xdr:col>3</xdr:col>
      <xdr:colOff>2095500</xdr:colOff>
      <xdr:row>34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6476D3-3523-4CAF-9B5E-4451CD324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9DCB-4583-4224-A7F2-B8B3EFC1691C}">
  <dimension ref="A1:D9"/>
  <sheetViews>
    <sheetView tabSelected="1" workbookViewId="0">
      <pane xSplit="1" topLeftCell="B1" activePane="topRight" state="frozen"/>
      <selection pane="topRight" activeCell="D9" sqref="D9"/>
    </sheetView>
  </sheetViews>
  <sheetFormatPr baseColWidth="10" defaultRowHeight="14.5" x14ac:dyDescent="0.35"/>
  <cols>
    <col min="1" max="1" width="35.08984375" bestFit="1" customWidth="1"/>
    <col min="2" max="3" width="27.453125" bestFit="1" customWidth="1"/>
    <col min="4" max="4" width="30.08984375" bestFit="1" customWidth="1"/>
  </cols>
  <sheetData>
    <row r="1" spans="1:4" ht="15" thickBot="1" x14ac:dyDescent="0.4">
      <c r="A1" s="1" t="s">
        <v>0</v>
      </c>
      <c r="B1" s="2" t="s">
        <v>49</v>
      </c>
      <c r="C1" s="2" t="s">
        <v>50</v>
      </c>
      <c r="D1" s="2" t="s">
        <v>51</v>
      </c>
    </row>
    <row r="2" spans="1:4" x14ac:dyDescent="0.35">
      <c r="A2" s="3" t="s">
        <v>1</v>
      </c>
      <c r="B2" s="4" t="s">
        <v>2</v>
      </c>
      <c r="C2" s="4" t="s">
        <v>2</v>
      </c>
      <c r="D2" s="4" t="s">
        <v>2</v>
      </c>
    </row>
    <row r="3" spans="1:4" x14ac:dyDescent="0.35">
      <c r="A3" s="3" t="s">
        <v>3</v>
      </c>
      <c r="B3" s="4" t="s">
        <v>21</v>
      </c>
      <c r="C3" s="4" t="s">
        <v>21</v>
      </c>
      <c r="D3" s="4" t="s">
        <v>21</v>
      </c>
    </row>
    <row r="4" spans="1:4" x14ac:dyDescent="0.35">
      <c r="A4" s="3" t="s">
        <v>4</v>
      </c>
      <c r="B4" s="4" t="s">
        <v>52</v>
      </c>
      <c r="C4" s="4" t="s">
        <v>53</v>
      </c>
      <c r="D4" s="4" t="s">
        <v>54</v>
      </c>
    </row>
    <row r="5" spans="1:4" x14ac:dyDescent="0.35">
      <c r="A5" s="3" t="s">
        <v>5</v>
      </c>
      <c r="B5" s="4" t="s">
        <v>6</v>
      </c>
      <c r="C5" s="4" t="s">
        <v>6</v>
      </c>
      <c r="D5" s="4" t="s">
        <v>6</v>
      </c>
    </row>
    <row r="6" spans="1:4" x14ac:dyDescent="0.35">
      <c r="A6" s="3" t="s">
        <v>7</v>
      </c>
      <c r="B6" s="4">
        <v>20</v>
      </c>
      <c r="C6" s="4">
        <v>20</v>
      </c>
      <c r="D6" s="4">
        <v>20</v>
      </c>
    </row>
    <row r="7" spans="1:4" x14ac:dyDescent="0.35">
      <c r="A7" s="3" t="s">
        <v>8</v>
      </c>
      <c r="B7" s="4">
        <f>B6+2*B8</f>
        <v>22.58</v>
      </c>
      <c r="C7" s="4">
        <f t="shared" ref="C7:D7" si="0">C6+2*C8</f>
        <v>22.32</v>
      </c>
      <c r="D7" s="4">
        <f t="shared" si="0"/>
        <v>22.32</v>
      </c>
    </row>
    <row r="8" spans="1:4" x14ac:dyDescent="0.35">
      <c r="A8" s="3" t="s">
        <v>9</v>
      </c>
      <c r="B8" s="4">
        <v>1.29</v>
      </c>
      <c r="C8" s="4">
        <v>1.1599999999999999</v>
      </c>
      <c r="D8" s="4">
        <v>1.1599999999999999</v>
      </c>
    </row>
    <row r="9" spans="1:4" x14ac:dyDescent="0.35">
      <c r="A9" s="5" t="s">
        <v>10</v>
      </c>
      <c r="B9" s="6">
        <v>2148.6999999999998</v>
      </c>
      <c r="C9" s="6">
        <v>2353.1</v>
      </c>
      <c r="D9" s="6">
        <v>3543.3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5C89-BC84-407E-B80A-09A8EA5067C0}">
  <dimension ref="A1:D9"/>
  <sheetViews>
    <sheetView workbookViewId="0">
      <pane xSplit="1" topLeftCell="B1" activePane="topRight" state="frozen"/>
      <selection pane="topRight" activeCell="D9" sqref="D9"/>
    </sheetView>
  </sheetViews>
  <sheetFormatPr baseColWidth="10" defaultRowHeight="14.5" x14ac:dyDescent="0.35"/>
  <cols>
    <col min="1" max="1" width="35.08984375" bestFit="1" customWidth="1"/>
    <col min="2" max="3" width="27.453125" bestFit="1" customWidth="1"/>
    <col min="4" max="4" width="30.08984375" bestFit="1" customWidth="1"/>
  </cols>
  <sheetData>
    <row r="1" spans="1:4" ht="15" thickBot="1" x14ac:dyDescent="0.4">
      <c r="A1" s="1" t="s">
        <v>0</v>
      </c>
      <c r="B1" s="2" t="s">
        <v>38</v>
      </c>
      <c r="C1" s="2" t="s">
        <v>39</v>
      </c>
      <c r="D1" s="2" t="s">
        <v>40</v>
      </c>
    </row>
    <row r="2" spans="1:4" x14ac:dyDescent="0.35">
      <c r="A2" s="3" t="s">
        <v>1</v>
      </c>
      <c r="B2" s="4" t="s">
        <v>2</v>
      </c>
      <c r="C2" s="4" t="s">
        <v>2</v>
      </c>
      <c r="D2" s="4" t="s">
        <v>2</v>
      </c>
    </row>
    <row r="3" spans="1:4" x14ac:dyDescent="0.35">
      <c r="A3" s="3" t="s">
        <v>3</v>
      </c>
      <c r="B3" s="4" t="s">
        <v>21</v>
      </c>
      <c r="C3" s="4" t="s">
        <v>21</v>
      </c>
      <c r="D3" s="4" t="s">
        <v>21</v>
      </c>
    </row>
    <row r="4" spans="1:4" x14ac:dyDescent="0.35">
      <c r="A4" s="3" t="s">
        <v>4</v>
      </c>
      <c r="B4" s="4" t="s">
        <v>41</v>
      </c>
      <c r="C4" s="4" t="s">
        <v>42</v>
      </c>
      <c r="D4" s="4" t="s">
        <v>43</v>
      </c>
    </row>
    <row r="5" spans="1:4" x14ac:dyDescent="0.35">
      <c r="A5" s="3" t="s">
        <v>5</v>
      </c>
      <c r="B5" s="4" t="s">
        <v>6</v>
      </c>
      <c r="C5" s="4" t="s">
        <v>6</v>
      </c>
      <c r="D5" s="4" t="s">
        <v>6</v>
      </c>
    </row>
    <row r="6" spans="1:4" x14ac:dyDescent="0.35">
      <c r="A6" s="3" t="s">
        <v>7</v>
      </c>
      <c r="B6" s="4">
        <v>20</v>
      </c>
      <c r="C6" s="4">
        <v>20</v>
      </c>
      <c r="D6" s="4">
        <v>20</v>
      </c>
    </row>
    <row r="7" spans="1:4" x14ac:dyDescent="0.35">
      <c r="A7" s="3" t="s">
        <v>8</v>
      </c>
      <c r="B7" s="4">
        <f>B6+2*B8</f>
        <v>23.18</v>
      </c>
      <c r="C7" s="4">
        <f t="shared" ref="C7:D7" si="0">C6+2*C8</f>
        <v>22.92</v>
      </c>
      <c r="D7" s="4">
        <f t="shared" si="0"/>
        <v>23.44</v>
      </c>
    </row>
    <row r="8" spans="1:4" x14ac:dyDescent="0.35">
      <c r="A8" s="3" t="s">
        <v>9</v>
      </c>
      <c r="B8" s="4">
        <v>1.59</v>
      </c>
      <c r="C8" s="4">
        <v>1.46</v>
      </c>
      <c r="D8" s="4">
        <v>1.72</v>
      </c>
    </row>
    <row r="9" spans="1:4" x14ac:dyDescent="0.35">
      <c r="A9" s="5" t="s">
        <v>10</v>
      </c>
      <c r="B9" s="6">
        <v>4090.2</v>
      </c>
      <c r="C9" s="6">
        <v>4294.8</v>
      </c>
      <c r="D9" s="6">
        <v>3662.1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751E-F121-42FC-A06A-EF805AE43B46}">
  <dimension ref="A1:D9"/>
  <sheetViews>
    <sheetView workbookViewId="0">
      <pane xSplit="1" topLeftCell="B1" activePane="topRight" state="frozen"/>
      <selection pane="topRight" activeCell="D10" sqref="D10"/>
    </sheetView>
  </sheetViews>
  <sheetFormatPr baseColWidth="10" defaultRowHeight="14.5" x14ac:dyDescent="0.35"/>
  <cols>
    <col min="1" max="1" width="35.08984375" bestFit="1" customWidth="1"/>
    <col min="2" max="3" width="27.453125" bestFit="1" customWidth="1"/>
    <col min="4" max="4" width="30.08984375" bestFit="1" customWidth="1"/>
  </cols>
  <sheetData>
    <row r="1" spans="1:4" ht="15" thickBot="1" x14ac:dyDescent="0.4">
      <c r="A1" s="1" t="s">
        <v>0</v>
      </c>
      <c r="B1" s="2" t="s">
        <v>35</v>
      </c>
      <c r="C1" s="2" t="s">
        <v>36</v>
      </c>
      <c r="D1" s="2" t="s">
        <v>37</v>
      </c>
    </row>
    <row r="2" spans="1:4" x14ac:dyDescent="0.35">
      <c r="A2" s="3" t="s">
        <v>1</v>
      </c>
      <c r="B2" s="4" t="s">
        <v>2</v>
      </c>
      <c r="C2" s="4" t="s">
        <v>2</v>
      </c>
      <c r="D2" s="4" t="s">
        <v>2</v>
      </c>
    </row>
    <row r="3" spans="1:4" x14ac:dyDescent="0.35">
      <c r="A3" s="3" t="s">
        <v>3</v>
      </c>
      <c r="B3" s="4" t="s">
        <v>21</v>
      </c>
      <c r="C3" s="4" t="s">
        <v>21</v>
      </c>
      <c r="D3" s="4" t="s">
        <v>21</v>
      </c>
    </row>
    <row r="4" spans="1:4" x14ac:dyDescent="0.35">
      <c r="A4" s="3" t="s">
        <v>4</v>
      </c>
      <c r="B4" s="4" t="s">
        <v>32</v>
      </c>
      <c r="C4" s="4" t="s">
        <v>33</v>
      </c>
      <c r="D4" s="4" t="s">
        <v>34</v>
      </c>
    </row>
    <row r="5" spans="1:4" x14ac:dyDescent="0.35">
      <c r="A5" s="3" t="s">
        <v>5</v>
      </c>
      <c r="B5" s="4" t="s">
        <v>6</v>
      </c>
      <c r="C5" s="4" t="s">
        <v>6</v>
      </c>
      <c r="D5" s="4" t="s">
        <v>6</v>
      </c>
    </row>
    <row r="6" spans="1:4" x14ac:dyDescent="0.35">
      <c r="A6" s="3" t="s">
        <v>7</v>
      </c>
      <c r="B6" s="4">
        <v>20</v>
      </c>
      <c r="C6" s="4">
        <v>20</v>
      </c>
      <c r="D6" s="4">
        <v>20</v>
      </c>
    </row>
    <row r="7" spans="1:4" x14ac:dyDescent="0.35">
      <c r="A7" s="3" t="s">
        <v>8</v>
      </c>
      <c r="B7" s="4">
        <f>B6+2*B8</f>
        <v>24.04</v>
      </c>
      <c r="C7" s="4">
        <f t="shared" ref="C7:D7" si="0">C6+2*C8</f>
        <v>23.78</v>
      </c>
      <c r="D7" s="4">
        <f t="shared" si="0"/>
        <v>24.3</v>
      </c>
    </row>
    <row r="8" spans="1:4" x14ac:dyDescent="0.35">
      <c r="A8" s="3" t="s">
        <v>9</v>
      </c>
      <c r="B8" s="4">
        <v>2.02</v>
      </c>
      <c r="C8" s="4">
        <v>1.89</v>
      </c>
      <c r="D8" s="4">
        <v>2.15</v>
      </c>
    </row>
    <row r="9" spans="1:4" x14ac:dyDescent="0.35">
      <c r="A9" s="5" t="s">
        <v>10</v>
      </c>
      <c r="B9" s="6">
        <v>4618.6000000000004</v>
      </c>
      <c r="C9" s="6">
        <v>4752.8999999999996</v>
      </c>
      <c r="D9" s="6">
        <v>4250.3999999999996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9D73-F9A9-41CC-BB53-2A8315899680}">
  <dimension ref="A1:K9"/>
  <sheetViews>
    <sheetView workbookViewId="0">
      <pane xSplit="1" topLeftCell="B1" activePane="topRight" state="frozen"/>
      <selection pane="topRight" activeCell="D45" sqref="D45"/>
    </sheetView>
  </sheetViews>
  <sheetFormatPr baseColWidth="10" defaultRowHeight="14.5" x14ac:dyDescent="0.35"/>
  <cols>
    <col min="1" max="1" width="35.08984375" bestFit="1" customWidth="1"/>
    <col min="2" max="6" width="27.453125" bestFit="1" customWidth="1"/>
    <col min="7" max="11" width="30.08984375" bestFit="1" customWidth="1"/>
  </cols>
  <sheetData>
    <row r="1" spans="1:11" ht="15" thickBot="1" x14ac:dyDescent="0.4">
      <c r="A1" s="1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35">
      <c r="A2" s="3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</row>
    <row r="3" spans="1:11" x14ac:dyDescent="0.35">
      <c r="A3" s="3" t="s">
        <v>3</v>
      </c>
      <c r="B3" s="4" t="s">
        <v>21</v>
      </c>
      <c r="C3" s="4" t="s">
        <v>21</v>
      </c>
      <c r="D3" s="4" t="s">
        <v>21</v>
      </c>
      <c r="E3" s="4" t="s">
        <v>21</v>
      </c>
      <c r="F3" s="4" t="s">
        <v>21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21</v>
      </c>
    </row>
    <row r="4" spans="1:11" x14ac:dyDescent="0.35">
      <c r="A4" s="3" t="s">
        <v>4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</row>
    <row r="5" spans="1:11" x14ac:dyDescent="0.35">
      <c r="A5" s="3" t="s">
        <v>5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</row>
    <row r="6" spans="1:11" x14ac:dyDescent="0.35">
      <c r="A6" s="3" t="s">
        <v>7</v>
      </c>
      <c r="B6" s="4">
        <v>20</v>
      </c>
      <c r="C6" s="4">
        <v>20</v>
      </c>
      <c r="D6" s="4">
        <v>20</v>
      </c>
      <c r="E6" s="4">
        <v>20</v>
      </c>
      <c r="F6" s="4">
        <v>20</v>
      </c>
      <c r="G6" s="4">
        <v>20</v>
      </c>
      <c r="H6" s="4">
        <v>20</v>
      </c>
      <c r="I6" s="4">
        <v>20</v>
      </c>
      <c r="J6" s="4">
        <v>20</v>
      </c>
      <c r="K6" s="4">
        <v>20</v>
      </c>
    </row>
    <row r="7" spans="1:11" x14ac:dyDescent="0.35">
      <c r="A7" s="3" t="s">
        <v>8</v>
      </c>
      <c r="B7" s="4">
        <f>B6+2*B8</f>
        <v>24.64</v>
      </c>
      <c r="C7" s="4">
        <f t="shared" ref="C7:K7" si="0">C6+2*C8</f>
        <v>24.64</v>
      </c>
      <c r="D7" s="4">
        <f t="shared" si="0"/>
        <v>24.64</v>
      </c>
      <c r="E7" s="4">
        <f t="shared" si="0"/>
        <v>24.64</v>
      </c>
      <c r="F7" s="4">
        <f t="shared" si="0"/>
        <v>24.64</v>
      </c>
      <c r="G7" s="4">
        <f t="shared" si="0"/>
        <v>24.9</v>
      </c>
      <c r="H7" s="4">
        <f t="shared" si="0"/>
        <v>24.9</v>
      </c>
      <c r="I7" s="4">
        <f t="shared" si="0"/>
        <v>24.9</v>
      </c>
      <c r="J7" s="4">
        <f t="shared" si="0"/>
        <v>24.9</v>
      </c>
      <c r="K7" s="4">
        <f t="shared" si="0"/>
        <v>24.9</v>
      </c>
    </row>
    <row r="8" spans="1:11" x14ac:dyDescent="0.35">
      <c r="A8" s="3" t="s">
        <v>9</v>
      </c>
      <c r="B8" s="4">
        <v>2.3199999999999998</v>
      </c>
      <c r="C8" s="4">
        <v>2.3199999999999998</v>
      </c>
      <c r="D8" s="4">
        <v>2.3199999999999998</v>
      </c>
      <c r="E8" s="4">
        <v>2.3199999999999998</v>
      </c>
      <c r="F8" s="4">
        <v>2.3199999999999998</v>
      </c>
      <c r="G8" s="4">
        <v>2.4500000000000002</v>
      </c>
      <c r="H8" s="4">
        <v>2.4500000000000002</v>
      </c>
      <c r="I8" s="4">
        <v>2.4500000000000002</v>
      </c>
      <c r="J8" s="4">
        <v>2.4500000000000002</v>
      </c>
      <c r="K8" s="4">
        <v>2.4500000000000002</v>
      </c>
    </row>
    <row r="9" spans="1:11" x14ac:dyDescent="0.35">
      <c r="A9" s="5" t="s">
        <v>10</v>
      </c>
      <c r="B9" s="6">
        <v>6757.2</v>
      </c>
      <c r="C9" s="6">
        <v>6757.2</v>
      </c>
      <c r="D9" s="6">
        <v>6757.2</v>
      </c>
      <c r="E9" s="6">
        <v>6757.2</v>
      </c>
      <c r="F9" s="6">
        <v>7884.8</v>
      </c>
      <c r="G9" s="6">
        <v>6398.8</v>
      </c>
      <c r="H9" s="6">
        <v>6398.8</v>
      </c>
      <c r="I9" s="6">
        <v>6398.8</v>
      </c>
      <c r="J9" s="6">
        <v>6398.8</v>
      </c>
      <c r="K9" s="6">
        <v>6398.8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2958-8E3F-4EDC-8A0E-99DC9A458CE9}">
  <dimension ref="A1:E9"/>
  <sheetViews>
    <sheetView workbookViewId="0">
      <pane xSplit="1" topLeftCell="B1" activePane="topRight" state="frozen"/>
      <selection pane="topRight" activeCell="E9" sqref="E9"/>
    </sheetView>
  </sheetViews>
  <sheetFormatPr baseColWidth="10" defaultRowHeight="14.5" x14ac:dyDescent="0.35"/>
  <cols>
    <col min="1" max="1" width="35.08984375" bestFit="1" customWidth="1"/>
    <col min="2" max="2" width="28.90625" bestFit="1" customWidth="1"/>
    <col min="3" max="3" width="32.453125" bestFit="1" customWidth="1"/>
    <col min="4" max="5" width="37.81640625" bestFit="1" customWidth="1"/>
  </cols>
  <sheetData>
    <row r="1" spans="1:5" ht="15" thickBot="1" x14ac:dyDescent="0.4">
      <c r="A1" s="1" t="s">
        <v>0</v>
      </c>
      <c r="B1" s="2" t="s">
        <v>38</v>
      </c>
      <c r="C1" s="2" t="s">
        <v>39</v>
      </c>
      <c r="D1" s="2" t="s">
        <v>40</v>
      </c>
      <c r="E1" s="2" t="s">
        <v>47</v>
      </c>
    </row>
    <row r="2" spans="1:5" x14ac:dyDescent="0.35">
      <c r="A2" s="3" t="s">
        <v>1</v>
      </c>
      <c r="B2" s="4" t="s">
        <v>2</v>
      </c>
      <c r="C2" s="4" t="s">
        <v>2</v>
      </c>
      <c r="D2" s="4" t="s">
        <v>2</v>
      </c>
      <c r="E2" s="4" t="s">
        <v>2</v>
      </c>
    </row>
    <row r="3" spans="1:5" x14ac:dyDescent="0.35">
      <c r="A3" s="3" t="s">
        <v>3</v>
      </c>
      <c r="B3" s="4" t="s">
        <v>21</v>
      </c>
      <c r="C3" s="4" t="s">
        <v>21</v>
      </c>
      <c r="D3" s="4" t="s">
        <v>21</v>
      </c>
      <c r="E3" s="4" t="s">
        <v>21</v>
      </c>
    </row>
    <row r="4" spans="1:5" x14ac:dyDescent="0.35">
      <c r="A4" s="3" t="s">
        <v>4</v>
      </c>
      <c r="B4" s="4" t="s">
        <v>44</v>
      </c>
      <c r="C4" s="4" t="s">
        <v>45</v>
      </c>
      <c r="D4" s="4" t="s">
        <v>48</v>
      </c>
      <c r="E4" s="4" t="s">
        <v>46</v>
      </c>
    </row>
    <row r="5" spans="1:5" x14ac:dyDescent="0.35">
      <c r="A5" s="3" t="s">
        <v>5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 x14ac:dyDescent="0.35">
      <c r="A6" s="3" t="s">
        <v>7</v>
      </c>
      <c r="B6" s="4">
        <v>20</v>
      </c>
      <c r="C6" s="4">
        <v>20</v>
      </c>
      <c r="D6" s="4">
        <v>20</v>
      </c>
      <c r="E6" s="4">
        <v>21</v>
      </c>
    </row>
    <row r="7" spans="1:5" x14ac:dyDescent="0.35">
      <c r="A7" s="3" t="s">
        <v>8</v>
      </c>
      <c r="B7" s="4">
        <f>B6+2*B8</f>
        <v>25.240000000000002</v>
      </c>
      <c r="C7" s="4">
        <f t="shared" ref="C7:E7" si="0">C6+2*C8</f>
        <v>25.5</v>
      </c>
      <c r="D7" s="4">
        <f t="shared" si="0"/>
        <v>25.759999999999998</v>
      </c>
      <c r="E7" s="4">
        <f t="shared" si="0"/>
        <v>27.02</v>
      </c>
    </row>
    <row r="8" spans="1:5" x14ac:dyDescent="0.35">
      <c r="A8" s="3" t="s">
        <v>9</v>
      </c>
      <c r="B8" s="4">
        <v>2.62</v>
      </c>
      <c r="C8" s="4">
        <v>2.75</v>
      </c>
      <c r="D8" s="4">
        <v>2.88</v>
      </c>
      <c r="E8" s="4">
        <v>3.01</v>
      </c>
    </row>
    <row r="9" spans="1:5" x14ac:dyDescent="0.35">
      <c r="A9" s="5" t="s">
        <v>10</v>
      </c>
      <c r="B9" s="6">
        <v>7461.2</v>
      </c>
      <c r="C9" s="6">
        <v>7382.3</v>
      </c>
      <c r="D9" s="6">
        <v>7075.2</v>
      </c>
      <c r="E9" s="6">
        <v>6650.8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3 capas</vt:lpstr>
      <vt:lpstr>4 capas</vt:lpstr>
      <vt:lpstr>5 capas</vt:lpstr>
      <vt:lpstr>6 capas</vt:lpstr>
      <vt:lpstr>7 capas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 Recio</dc:creator>
  <cp:lastModifiedBy>Manuel Gonzalez Recio</cp:lastModifiedBy>
  <dcterms:created xsi:type="dcterms:W3CDTF">2025-10-09T14:18:50Z</dcterms:created>
  <dcterms:modified xsi:type="dcterms:W3CDTF">2025-12-02T10:33:18Z</dcterms:modified>
</cp:coreProperties>
</file>